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176428E6-CC11-C334-683E-B6102A28F97D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bookViews>
    <workbookView xWindow="0" yWindow="0" windowWidth="20490" windowHeight="7650" tabRatio="849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0" i="18" l="1"/>
  <c r="E30" i="18"/>
  <c r="D30" i="18"/>
  <c r="C30" i="18"/>
  <c r="B30" i="18"/>
  <c r="F29" i="18"/>
  <c r="E29" i="18"/>
  <c r="D29" i="18"/>
  <c r="C29" i="18"/>
  <c r="B29" i="18"/>
  <c r="F28" i="18"/>
  <c r="E28" i="18"/>
  <c r="D28" i="18"/>
  <c r="C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34" i="20"/>
  <c r="C33" i="20"/>
  <c r="C35" i="20"/>
  <c r="C32" i="20"/>
  <c r="C29" i="20"/>
  <c r="C30" i="20"/>
  <c r="C31" i="20"/>
  <c r="C28" i="20"/>
  <c r="C24" i="20"/>
  <c r="C25" i="20"/>
  <c r="C26" i="20"/>
  <c r="C27" i="20"/>
  <c r="C23" i="20"/>
  <c r="D6" i="19"/>
  <c r="C22" i="19"/>
  <c r="C5" i="15"/>
  <c r="H43" i="15" s="1"/>
  <c r="H43" i="1"/>
</calcChain>
</file>

<file path=xl/sharedStrings.xml><?xml version="1.0" encoding="utf-8"?>
<sst xmlns="http://schemas.openxmlformats.org/spreadsheetml/2006/main" count="473" uniqueCount="205">
  <si>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</si>
  <si>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</si>
  <si>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</si>
  <si>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</si>
  <si>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</si>
  <si>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</si>
  <si>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</si>
  <si>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</si>
  <si>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</si>
  <si>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</si>
  <si>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</si>
  <si>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</si>
  <si>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</si>
  <si>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</si>
  <si>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</si>
  <si>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</si>
  <si>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</si>
  <si>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</si>
  <si>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</si>
  <si>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</si>
  <si>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</si>
  <si>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</si>
  <si>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</si>
  <si>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</si>
  <si>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</si>
  <si>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</si>
  <si>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</si>
  <si>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</si>
  <si>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</si>
  <si>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</si>
  <si>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</si>
  <si>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</si>
  <si>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</si>
  <si>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</si>
  <si>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</si>
  <si>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</si>
  <si>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</si>
  <si>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</si>
  <si>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</si>
  <si>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</si>
  <si>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</si>
  <si>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</si>
  <si>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</si>
  <si>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</si>
  <si>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</si>
  <si>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</si>
  <si>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</si>
  <si>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</si>
  <si>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</si>
  <si>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</si>
  <si>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</si>
  <si>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</si>
  <si>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</si>
  <si>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</si>
  <si>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</si>
  <si>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</si>
  <si>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</si>
  <si>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</si>
  <si>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</si>
  <si>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</si>
  <si>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</si>
  <si>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</si>
  <si>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</si>
  <si>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</si>
  <si>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</si>
  <si>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</si>
  <si>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</si>
  <si>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</si>
  <si>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</si>
  <si>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</si>
  <si>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</si>
  <si>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</si>
  <si>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</si>
  <si>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</si>
  <si>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</si>
  <si>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</si>
  <si>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</si>
  <si>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</si>
  <si>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</si>
  <si>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</si>
  <si>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</si>
  <si>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</si>
  <si>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</si>
  <si>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</si>
  <si>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</si>
  <si>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</si>
  <si>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</si>
  <si>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</si>
  <si>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</si>
  <si>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</si>
  <si>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</si>
  <si>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</si>
  <si>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</si>
  <si>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</si>
  <si>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</si>
  <si>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</si>
  <si>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</si>
  <si>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</si>
  <si>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</si>
  <si>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</si>
  <si>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</si>
  <si>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</si>
  <si>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</si>
  <si>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</si>
  <si>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</si>
  <si>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</si>
  <si>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</si>
  <si>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</si>
  <si>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</si>
  <si>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</si>
  <si>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</si>
  <si>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</si>
  <si>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</si>
  <si>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</si>
  <si>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</si>
  <si>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</si>
  <si>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</si>
  <si>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</si>
  <si>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</si>
  <si>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</si>
  <si>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</si>
  <si>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</si>
  <si>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</si>
  <si>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</si>
  <si>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</si>
  <si>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</si>
  <si>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</si>
  <si>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</si>
  <si>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</si>
  <si>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</si>
  <si>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</si>
  <si>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</si>
  <si>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</si>
  <si>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</si>
  <si>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</si>
  <si>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</si>
  <si>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</si>
  <si>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</si>
  <si>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</si>
  <si>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</si>
  <si>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</si>
  <si>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</si>
  <si>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</si>
  <si>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</si>
  <si>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</si>
  <si>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</si>
  <si>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</si>
  <si>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</si>
  <si>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</si>
  <si>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</si>
  <si>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</si>
  <si>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</si>
  <si>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</si>
  <si>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</si>
  <si>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</si>
  <si>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</si>
  <si>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</si>
  <si>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</si>
  <si>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</si>
  <si>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</si>
  <si>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</si>
  <si>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</si>
  <si>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</si>
  <si>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</si>
  <si>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</si>
  <si>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</si>
  <si>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</si>
  <si>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</si>
  <si>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</si>
  <si>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</si>
  <si>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</si>
  <si>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</si>
  <si>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</si>
  <si>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</si>
  <si>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</si>
  <si>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</si>
  <si>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1. Select the cell or column that contains the text you want to split.</t>
  </si>
  <si>
    <t>2. Select data &gt; text to columns</t>
  </si>
  <si>
    <t>3. In the Convert Text to Columns Wizard, select Delimited &gt; Next.</t>
  </si>
  <si>
    <t>4. select the Delimiters for your data.           5. Select Next                6. Select the Destination in your worksheet which is where you want the split data to appear.</t>
  </si>
  <si>
    <t>This formula calculates the sum of values in cells C2 to C11. If any of these cells contain an #N/A error, it replaces the error with '20' before summing them up. Adjust the range (C2:C11) based on the actual range of your 'Sales' column in Table_A.</t>
  </si>
  <si>
    <t>In home there is conditional formating in that select highlight cell rules within that select between option there we have to specifie the values.</t>
  </si>
  <si>
    <t>In view menu we have Freeze panes there we have three options in that based on requirement we have to select the option, for me I have to freeze the top row so I have selected Freeze Top Row option.</t>
  </si>
  <si>
    <t>In Home Menu we have number menu there we have select Date Category and choose the pattern.</t>
  </si>
  <si>
    <t>We have to use VLOOKUP Formula.</t>
  </si>
  <si>
    <t>The we Vlookup function in excel searches the values in one column based on a given value in another column.</t>
  </si>
  <si>
    <t>The formula is made of four paramters.</t>
  </si>
  <si>
    <t xml:space="preserve">1. Lookup value </t>
  </si>
  <si>
    <t>2. Table Array</t>
  </si>
  <si>
    <t>3. Column index number</t>
  </si>
  <si>
    <t xml:space="preserve">4. Range Lookup </t>
  </si>
  <si>
    <t>VLOOKUP looks up a value in another table and returns a corresponding value to the right</t>
  </si>
  <si>
    <t>What you are trying to find</t>
  </si>
  <si>
    <t>Where you are trying to find it</t>
  </si>
  <si>
    <t>What do you want to return</t>
  </si>
  <si>
    <t>TRUE for approximate matches, FALSE for exact matches</t>
  </si>
  <si>
    <t>Optional</t>
  </si>
  <si>
    <t>Explaination:</t>
  </si>
  <si>
    <t>Column Index Number:</t>
  </si>
  <si>
    <t>Arguments:</t>
  </si>
  <si>
    <t>Lookup Value:</t>
  </si>
  <si>
    <t>Table Array:</t>
  </si>
  <si>
    <t>Range Lookup:</t>
  </si>
  <si>
    <t>Formula :</t>
  </si>
  <si>
    <t xml:space="preserve">We have used Vlookup Formula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</si>
</sst>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h:mm:ss;@"/>
    <numFmt numFmtId="165" formatCode="yyyy\-mm\-dd;@"/>
    <numFmt numFmtId="167" formatCode="[$-14009]yyyy/mm/dd;@"/>
  </numFmts>
  <fonts count="23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FFFFFF"/>
      <name val="Courier New"/>
      <family val="3"/>
    </font>
    <font>
      <sz val="14"/>
      <color rgb="FF403F3E"/>
      <name val="Arial"/>
      <family val="2"/>
    </font>
    <font>
      <b/>
      <sz val="16"/>
      <color rgb="FF000000"/>
      <name val="Times New Roman"/>
      <family val="1"/>
    </font>
    <font>
      <sz val="14"/>
      <color rgb="FF000000"/>
      <name val="Times New Roman"/>
      <family val="1"/>
    </font>
    <font>
      <sz val="14"/>
      <color rgb="FF37415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1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7" fontId="3" fillId="0" borderId="0" xfId="0" applyNumberFormat="1" applyFont="1"/>
    <xf numFmtId="0" fontId="18" fillId="0" borderId="0" xfId="0" applyFont="1"/>
    <xf numFmtId="0" fontId="9" fillId="0" borderId="0" xfId="0" applyFont="1"/>
    <xf numFmtId="0" fontId="19" fillId="0" borderId="0" xfId="0" applyFont="1"/>
    <xf numFmtId="0" fontId="20" fillId="0" borderId="0" xfId="0" applyFont="1"/>
    <xf numFmtId="0" fontId="21" fillId="0" borderId="0" xfId="0" applyFont="1"/>
    <xf numFmtId="0" fontId="22" fillId="0" borderId="0" xfId="0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2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4"/>
      <tableStyleElement type="headerRow" dxfId="2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tabSelected="1"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8" t="s">
        <v>107</v>
      </c>
    </row>
    <row r="2" spans="1:3" x14ac:dyDescent="0.2">
      <c r="A2" s="2" t="s">
        <v>108</v>
      </c>
    </row>
    <row r="3" spans="1:3" x14ac:dyDescent="0.2">
      <c r="A3" s="2" t="s">
        <v>109</v>
      </c>
    </row>
    <row r="4" spans="1:3" ht="15" x14ac:dyDescent="0.25">
      <c r="A4" s="2" t="s">
        <v>110</v>
      </c>
      <c r="C4" s="1"/>
    </row>
    <row r="5" spans="1:3" x14ac:dyDescent="0.2">
      <c r="A5" s="2" t="s">
        <v>151</v>
      </c>
    </row>
    <row r="8" spans="1:3" x14ac:dyDescent="0.2">
      <c r="A8" s="2" t="s">
        <v>172</v>
      </c>
    </row>
    <row r="9" spans="1:3" x14ac:dyDescent="0.2">
      <c r="A9" s="35" t="s">
        <v>170</v>
      </c>
      <c r="B9" s="25" t="s">
        <v>168</v>
      </c>
    </row>
    <row r="10" spans="1:3" x14ac:dyDescent="0.2">
      <c r="A10" s="34" t="s">
        <v>171</v>
      </c>
      <c r="B10" s="36">
        <v>25</v>
      </c>
    </row>
    <row r="11" spans="1:3" x14ac:dyDescent="0.2">
      <c r="A11" s="34" t="s">
        <v>54</v>
      </c>
      <c r="B11" s="36">
        <v>30</v>
      </c>
    </row>
    <row r="12" spans="1:3" x14ac:dyDescent="0.2">
      <c r="A12" s="34" t="s">
        <v>55</v>
      </c>
      <c r="B12" s="36">
        <v>10</v>
      </c>
    </row>
    <row r="13" spans="1:3" x14ac:dyDescent="0.2">
      <c r="A13" s="34" t="s">
        <v>84</v>
      </c>
      <c r="B13" s="36">
        <v>20</v>
      </c>
    </row>
    <row r="14" spans="1:3" x14ac:dyDescent="0.2">
      <c r="A14" s="34" t="s">
        <v>97</v>
      </c>
      <c r="B14" s="36">
        <v>40</v>
      </c>
    </row>
    <row r="15" spans="1:3" x14ac:dyDescent="0.2">
      <c r="A15" s="37" t="s">
        <v>169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3"/>
  <sheetViews>
    <sheetView zoomScaleNormal="100" workbookViewId="0">
      <pane ySplit="1" topLeftCell="A2" activePane="bottomLeft" state="frozen"/>
      <selection pane="bottomLeft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3.5" customHeight="1" x14ac:dyDescent="0.25">
      <c r="A1" s="27" t="s">
        <v>63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78</v>
      </c>
      <c r="H1" s="29" t="s">
        <v>64</v>
      </c>
      <c r="I1" s="29" t="s">
        <v>65</v>
      </c>
      <c r="J1" s="30" t="s">
        <v>66</v>
      </c>
      <c r="K1" s="30" t="s">
        <v>67</v>
      </c>
      <c r="L1" s="30" t="s">
        <v>68</v>
      </c>
      <c r="M1" s="29" t="s">
        <v>69</v>
      </c>
      <c r="N1" s="29" t="s">
        <v>70</v>
      </c>
      <c r="O1" s="29" t="s">
        <v>71</v>
      </c>
      <c r="P1" s="30" t="s">
        <v>72</v>
      </c>
      <c r="Q1" s="30" t="s">
        <v>73</v>
      </c>
      <c r="R1" s="30" t="s">
        <v>74</v>
      </c>
      <c r="S1" s="29" t="s">
        <v>79</v>
      </c>
      <c r="T1" s="29" t="s">
        <v>75</v>
      </c>
      <c r="U1" s="30" t="s">
        <v>80</v>
      </c>
      <c r="V1" s="30" t="s">
        <v>76</v>
      </c>
      <c r="W1" s="30" t="s">
        <v>77</v>
      </c>
      <c r="X1" s="3" t="s">
        <v>104</v>
      </c>
    </row>
    <row r="2" spans="1:24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6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6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6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6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6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6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6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6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6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6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6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6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6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6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6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6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6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6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6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6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6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6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6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25">
      <c r="A27" s="1" t="s">
        <v>56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25">
      <c r="A30" s="1" t="s">
        <v>57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  <row r="43" spans="1:24" x14ac:dyDescent="0.25">
      <c r="H43" s="1">
        <f>SUMIF(H2:H40, "&gt;20", H2:H40)</f>
        <v>1473.0000000000002</v>
      </c>
    </row>
  </sheetData>
  <conditionalFormatting sqref="A1:A1048576">
    <cfRule type="duplicateValues" dxfId="22" priority="4"/>
  </conditionalFormatting>
  <conditionalFormatting sqref="B1:B1048576">
    <cfRule type="duplicateValues" dxfId="21" priority="3"/>
  </conditionalFormatting>
  <conditionalFormatting sqref="A1:X40">
    <cfRule type="cellIs" dxfId="20" priority="1" operator="between">
      <formula>0</formula>
      <formula>0</formula>
    </cfRule>
    <cfRule type="cellIs" dxfId="19" priority="2" operator="between">
      <formula>-1</formula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3"/>
  <sheetViews>
    <sheetView zoomScaleNormal="100" workbookViewId="0">
      <selection activeCell="C3" sqref="C3:D3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9" x14ac:dyDescent="0.25">
      <c r="A1" s="4" t="s">
        <v>46</v>
      </c>
      <c r="B1" s="4" t="s">
        <v>47</v>
      </c>
      <c r="C1" s="4" t="s">
        <v>44</v>
      </c>
      <c r="E1" s="4" t="s">
        <v>175</v>
      </c>
    </row>
    <row r="2" spans="1:9" x14ac:dyDescent="0.25">
      <c r="A2" s="2"/>
      <c r="B2" s="5" t="s">
        <v>159</v>
      </c>
      <c r="C2" s="2"/>
    </row>
    <row r="3" spans="1:9" ht="18.75" x14ac:dyDescent="0.3">
      <c r="A3" s="6">
        <v>1</v>
      </c>
      <c r="B3" s="2" t="s">
        <v>106</v>
      </c>
      <c r="C3" s="49" t="s">
        <v>181</v>
      </c>
      <c r="D3" s="49"/>
      <c r="E3" s="1">
        <v>5</v>
      </c>
    </row>
    <row r="4" spans="1:9" ht="18.75" x14ac:dyDescent="0.3">
      <c r="A4" s="6">
        <v>2</v>
      </c>
      <c r="B4" s="2" t="s">
        <v>45</v>
      </c>
      <c r="C4" s="49" t="s">
        <v>182</v>
      </c>
      <c r="D4" s="39"/>
      <c r="E4" s="1">
        <v>5</v>
      </c>
    </row>
    <row r="5" spans="1:9" x14ac:dyDescent="0.25">
      <c r="A5" s="6">
        <v>3</v>
      </c>
      <c r="B5" s="2" t="s">
        <v>103</v>
      </c>
      <c r="C5" s="33">
        <f>SUMIF(H2:H40,"&gt;20", H2:H40)</f>
        <v>0</v>
      </c>
      <c r="E5" s="1">
        <v>10</v>
      </c>
    </row>
    <row r="6" spans="1:9" x14ac:dyDescent="0.25">
      <c r="A6" s="6">
        <v>4</v>
      </c>
      <c r="B6" s="2" t="s">
        <v>105</v>
      </c>
      <c r="C6" s="2"/>
      <c r="E6" s="1">
        <v>5</v>
      </c>
    </row>
    <row r="7" spans="1:9" ht="18.75" x14ac:dyDescent="0.3">
      <c r="A7" s="2"/>
      <c r="B7" s="2"/>
      <c r="C7" s="49" t="s">
        <v>183</v>
      </c>
      <c r="D7" s="49"/>
      <c r="E7" s="49"/>
      <c r="F7" s="49"/>
      <c r="G7" s="49"/>
      <c r="H7" s="49"/>
      <c r="I7" s="49"/>
    </row>
    <row r="13" spans="1:9" x14ac:dyDescent="0.25">
      <c r="E13" s="2"/>
    </row>
    <row r="14" spans="1:9" x14ac:dyDescent="0.25">
      <c r="E14" s="2"/>
    </row>
    <row r="43" spans="8:8" x14ac:dyDescent="0.25">
      <c r="H43" s="1" t="b">
        <f>Task_1!C5=SUMIF(H2:H40, "&gt;20", H2:H40)</f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4"/>
  <sheetViews>
    <sheetView zoomScaleNormal="100" workbookViewId="0">
      <selection activeCell="F31" sqref="F31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9" width="11" style="2"/>
    <col min="10" max="10" width="20.83203125" style="2" bestFit="1" customWidth="1"/>
    <col min="11" max="16384" width="11" style="2"/>
  </cols>
  <sheetData>
    <row r="1" spans="1:15" s="40" customFormat="1" ht="21" x14ac:dyDescent="0.35">
      <c r="A1" s="41" t="s">
        <v>54</v>
      </c>
      <c r="B1" s="40" t="s">
        <v>163</v>
      </c>
    </row>
    <row r="2" spans="1:15" s="40" customFormat="1" ht="21" x14ac:dyDescent="0.35">
      <c r="B2" s="40" t="s">
        <v>160</v>
      </c>
    </row>
    <row r="3" spans="1:15" ht="15" x14ac:dyDescent="0.25">
      <c r="A3" s="1"/>
      <c r="B3" s="1"/>
      <c r="C3" s="1"/>
      <c r="D3" s="1"/>
      <c r="E3" s="1"/>
      <c r="F3" s="1"/>
      <c r="G3" s="1"/>
    </row>
    <row r="4" spans="1:15" ht="23.25" x14ac:dyDescent="0.35">
      <c r="A4" s="17" t="s">
        <v>161</v>
      </c>
      <c r="B4" s="1"/>
      <c r="C4" s="1"/>
      <c r="D4" s="1"/>
      <c r="E4" s="1"/>
      <c r="F4" s="1"/>
      <c r="G4" s="1"/>
    </row>
    <row r="5" spans="1:15" ht="15" x14ac:dyDescent="0.25">
      <c r="A5" s="19" t="s">
        <v>63</v>
      </c>
      <c r="B5" s="20" t="s">
        <v>78</v>
      </c>
      <c r="C5" s="21" t="s">
        <v>70</v>
      </c>
      <c r="D5" s="20" t="s">
        <v>74</v>
      </c>
      <c r="E5" s="21" t="s">
        <v>75</v>
      </c>
      <c r="F5" s="22" t="s">
        <v>76</v>
      </c>
      <c r="J5" s="27" t="s">
        <v>63</v>
      </c>
      <c r="K5" s="46" t="s">
        <v>78</v>
      </c>
      <c r="L5" s="29" t="s">
        <v>70</v>
      </c>
      <c r="M5" s="30" t="s">
        <v>74</v>
      </c>
      <c r="N5" s="29" t="s">
        <v>75</v>
      </c>
      <c r="O5" s="30" t="s">
        <v>76</v>
      </c>
    </row>
    <row r="6" spans="1:15" ht="15" x14ac:dyDescent="0.25">
      <c r="A6" s="7" t="s">
        <v>40</v>
      </c>
      <c r="B6" s="11">
        <f>VLOOKUP(A6,J5:K44,2,0)</f>
        <v>34.700000000000003</v>
      </c>
      <c r="C6" s="11">
        <f>VLOOKUP(A6,J5:L44,3,0)</f>
        <v>7.6</v>
      </c>
      <c r="D6" s="11">
        <f>VLOOKUP(A6,J5:M44,4,0)</f>
        <v>4.2</v>
      </c>
      <c r="E6" s="11">
        <f>VLOOKUP(A6,J5:N44,5,0)</f>
        <v>8.9</v>
      </c>
      <c r="F6" s="8">
        <f>VLOOKUP(A6,J5:O44,6,0)</f>
        <v>4.2</v>
      </c>
      <c r="J6" s="1" t="s">
        <v>40</v>
      </c>
      <c r="K6" s="1">
        <v>34.700000000000003</v>
      </c>
      <c r="L6" s="1">
        <v>7.6</v>
      </c>
      <c r="M6" s="1">
        <v>4.2</v>
      </c>
      <c r="N6" s="1">
        <v>8.9</v>
      </c>
      <c r="O6" s="1">
        <v>4.2</v>
      </c>
    </row>
    <row r="7" spans="1:15" ht="15" x14ac:dyDescent="0.25">
      <c r="A7" s="7" t="s">
        <v>4</v>
      </c>
      <c r="B7" s="11">
        <f t="shared" ref="B7:B30" si="0">VLOOKUP(A7,J6:K45,2,0)</f>
        <v>36.5</v>
      </c>
      <c r="C7" s="11">
        <f t="shared" ref="C7:C30" si="1">VLOOKUP(A7,J6:L45,3,0)</f>
        <v>7.6</v>
      </c>
      <c r="D7" s="11">
        <f t="shared" ref="D7:D30" si="2">VLOOKUP(A7,J6:M45,4,0)</f>
        <v>4.2</v>
      </c>
      <c r="E7" s="11">
        <f t="shared" ref="E7:E30" si="3">VLOOKUP(A7,J6:N45,5,0)</f>
        <v>8.9</v>
      </c>
      <c r="F7" s="8">
        <f t="shared" ref="F7:F30" si="4">VLOOKUP(A7,J6:O45,6,0)</f>
        <v>4.2</v>
      </c>
      <c r="J7" s="1" t="s">
        <v>4</v>
      </c>
      <c r="K7" s="1">
        <v>36.5</v>
      </c>
      <c r="L7" s="1">
        <v>7.6</v>
      </c>
      <c r="M7" s="1">
        <v>4.2</v>
      </c>
      <c r="N7" s="1">
        <v>8.9</v>
      </c>
      <c r="O7" s="1">
        <v>4.2</v>
      </c>
    </row>
    <row r="8" spans="1:15" ht="15" x14ac:dyDescent="0.25">
      <c r="A8" s="7" t="s">
        <v>7</v>
      </c>
      <c r="B8" s="11">
        <f t="shared" si="0"/>
        <v>38</v>
      </c>
      <c r="C8" s="11">
        <f t="shared" si="1"/>
        <v>11.1</v>
      </c>
      <c r="D8" s="11">
        <f t="shared" si="2"/>
        <v>5.8</v>
      </c>
      <c r="E8" s="11">
        <f t="shared" si="3"/>
        <v>12.2</v>
      </c>
      <c r="F8" s="8">
        <f t="shared" si="4"/>
        <v>5.8</v>
      </c>
      <c r="J8" s="1" t="s">
        <v>7</v>
      </c>
      <c r="K8" s="1">
        <v>38</v>
      </c>
      <c r="L8" s="1">
        <v>11.1</v>
      </c>
      <c r="M8" s="1">
        <v>5.8</v>
      </c>
      <c r="N8" s="1">
        <v>12.2</v>
      </c>
      <c r="O8" s="1">
        <v>5.8</v>
      </c>
    </row>
    <row r="9" spans="1:15" ht="15" x14ac:dyDescent="0.25">
      <c r="A9" s="7" t="s">
        <v>8</v>
      </c>
      <c r="B9" s="11">
        <f t="shared" si="0"/>
        <v>38.700000000000003</v>
      </c>
      <c r="C9" s="11">
        <f t="shared" si="1"/>
        <v>13.3</v>
      </c>
      <c r="D9" s="11">
        <f t="shared" si="2"/>
        <v>8.1</v>
      </c>
      <c r="E9" s="11">
        <f t="shared" si="3"/>
        <v>17</v>
      </c>
      <c r="F9" s="8">
        <f t="shared" si="4"/>
        <v>8.1</v>
      </c>
      <c r="J9" s="1" t="s">
        <v>8</v>
      </c>
      <c r="K9" s="1">
        <v>38.700000000000003</v>
      </c>
      <c r="L9" s="1">
        <v>13.3</v>
      </c>
      <c r="M9" s="1">
        <v>8.1</v>
      </c>
      <c r="N9" s="1">
        <v>17</v>
      </c>
      <c r="O9" s="1">
        <v>8.1</v>
      </c>
    </row>
    <row r="10" spans="1:15" ht="15" x14ac:dyDescent="0.25">
      <c r="A10" s="7" t="s">
        <v>11</v>
      </c>
      <c r="B10" s="11">
        <f t="shared" si="0"/>
        <v>41.3</v>
      </c>
      <c r="C10" s="11">
        <f t="shared" si="1"/>
        <v>28.3</v>
      </c>
      <c r="D10" s="11">
        <f t="shared" si="2"/>
        <v>16.100000000000001</v>
      </c>
      <c r="E10" s="11">
        <f t="shared" si="3"/>
        <v>32.799999999999997</v>
      </c>
      <c r="F10" s="8">
        <f t="shared" si="4"/>
        <v>16.100000000000001</v>
      </c>
      <c r="J10" s="1" t="s">
        <v>9</v>
      </c>
      <c r="K10" s="1">
        <v>40.1</v>
      </c>
      <c r="L10" s="1">
        <v>18</v>
      </c>
      <c r="M10" s="1">
        <v>11</v>
      </c>
      <c r="N10" s="1">
        <v>22.5</v>
      </c>
      <c r="O10" s="1">
        <v>11</v>
      </c>
    </row>
    <row r="11" spans="1:15" ht="15" x14ac:dyDescent="0.25">
      <c r="A11" s="7" t="s">
        <v>12</v>
      </c>
      <c r="B11" s="11">
        <f t="shared" si="0"/>
        <v>42.3</v>
      </c>
      <c r="C11" s="11">
        <f t="shared" si="1"/>
        <v>35.200000000000003</v>
      </c>
      <c r="D11" s="11">
        <f t="shared" si="2"/>
        <v>21.3</v>
      </c>
      <c r="E11" s="11">
        <f t="shared" si="3"/>
        <v>43</v>
      </c>
      <c r="F11" s="8">
        <f t="shared" si="4"/>
        <v>21.3</v>
      </c>
      <c r="J11" s="1" t="s">
        <v>10</v>
      </c>
      <c r="K11" s="1">
        <v>0</v>
      </c>
      <c r="L11" s="1">
        <v>21.5</v>
      </c>
      <c r="M11" s="1">
        <v>12.8</v>
      </c>
      <c r="N11" s="1">
        <v>26.1</v>
      </c>
      <c r="O11" s="1">
        <v>12.8</v>
      </c>
    </row>
    <row r="12" spans="1:15" ht="15" x14ac:dyDescent="0.25">
      <c r="A12" s="7" t="s">
        <v>14</v>
      </c>
      <c r="B12" s="11">
        <f t="shared" si="0"/>
        <v>-1</v>
      </c>
      <c r="C12" s="11">
        <f t="shared" si="1"/>
        <v>55.6</v>
      </c>
      <c r="D12" s="11">
        <f t="shared" si="2"/>
        <v>33.799999999999997</v>
      </c>
      <c r="E12" s="11">
        <f t="shared" si="3"/>
        <v>67.900000000000006</v>
      </c>
      <c r="F12" s="8">
        <f t="shared" si="4"/>
        <v>33.799999999999997</v>
      </c>
      <c r="J12" s="1" t="s">
        <v>11</v>
      </c>
      <c r="K12" s="1">
        <v>41.3</v>
      </c>
      <c r="L12" s="1">
        <v>28.3</v>
      </c>
      <c r="M12" s="1">
        <v>16.100000000000001</v>
      </c>
      <c r="N12" s="1">
        <v>32.799999999999997</v>
      </c>
      <c r="O12" s="1">
        <v>16.100000000000001</v>
      </c>
    </row>
    <row r="13" spans="1:15" ht="15" x14ac:dyDescent="0.25">
      <c r="A13" s="7" t="s">
        <v>15</v>
      </c>
      <c r="B13" s="11">
        <f t="shared" si="0"/>
        <v>45</v>
      </c>
      <c r="C13" s="11">
        <f t="shared" si="1"/>
        <v>0</v>
      </c>
      <c r="D13" s="11">
        <f t="shared" si="2"/>
        <v>0</v>
      </c>
      <c r="E13" s="11">
        <f t="shared" si="3"/>
        <v>0</v>
      </c>
      <c r="F13" s="8">
        <f t="shared" si="4"/>
        <v>0</v>
      </c>
      <c r="J13" s="1" t="s">
        <v>12</v>
      </c>
      <c r="K13" s="1">
        <v>42.3</v>
      </c>
      <c r="L13" s="1">
        <v>35.200000000000003</v>
      </c>
      <c r="M13" s="1">
        <v>21.3</v>
      </c>
      <c r="N13" s="1">
        <v>43</v>
      </c>
      <c r="O13" s="1">
        <v>21.3</v>
      </c>
    </row>
    <row r="14" spans="1:15" ht="15" x14ac:dyDescent="0.25">
      <c r="A14" s="7" t="s">
        <v>16</v>
      </c>
      <c r="B14" s="11">
        <f t="shared" si="0"/>
        <v>-1</v>
      </c>
      <c r="C14" s="11">
        <f t="shared" si="1"/>
        <v>61.5</v>
      </c>
      <c r="D14" s="11">
        <f t="shared" si="2"/>
        <v>40.1</v>
      </c>
      <c r="E14" s="11">
        <f t="shared" si="3"/>
        <v>76.599999999999994</v>
      </c>
      <c r="F14" s="8">
        <f t="shared" si="4"/>
        <v>40.1</v>
      </c>
      <c r="J14" s="1" t="s">
        <v>13</v>
      </c>
      <c r="K14" s="1">
        <v>43.3</v>
      </c>
      <c r="L14" s="1">
        <v>49</v>
      </c>
      <c r="M14" s="1">
        <v>29.1</v>
      </c>
      <c r="N14" s="1">
        <v>59</v>
      </c>
      <c r="O14" s="1">
        <v>29.1</v>
      </c>
    </row>
    <row r="15" spans="1:15" ht="15" x14ac:dyDescent="0.25">
      <c r="A15" s="7" t="s">
        <v>18</v>
      </c>
      <c r="B15" s="11">
        <f t="shared" si="0"/>
        <v>43.3</v>
      </c>
      <c r="C15" s="11">
        <f t="shared" si="1"/>
        <v>79.599999999999994</v>
      </c>
      <c r="D15" s="11">
        <f t="shared" si="2"/>
        <v>47.9</v>
      </c>
      <c r="E15" s="11">
        <f t="shared" si="3"/>
        <v>96.8</v>
      </c>
      <c r="F15" s="8">
        <f t="shared" si="4"/>
        <v>47.9</v>
      </c>
      <c r="J15" s="1" t="s">
        <v>14</v>
      </c>
      <c r="K15" s="1">
        <v>-1</v>
      </c>
      <c r="L15" s="1">
        <v>55.6</v>
      </c>
      <c r="M15" s="1">
        <v>33.799999999999997</v>
      </c>
      <c r="N15" s="1">
        <v>67.900000000000006</v>
      </c>
      <c r="O15" s="1">
        <v>33.799999999999997</v>
      </c>
    </row>
    <row r="16" spans="1:15" ht="15" x14ac:dyDescent="0.25">
      <c r="A16" s="7" t="s">
        <v>20</v>
      </c>
      <c r="B16" s="11">
        <f t="shared" si="0"/>
        <v>47.3</v>
      </c>
      <c r="C16" s="11">
        <f t="shared" si="1"/>
        <v>85.4</v>
      </c>
      <c r="D16" s="11">
        <f t="shared" si="2"/>
        <v>52.3</v>
      </c>
      <c r="E16" s="11">
        <f t="shared" si="3"/>
        <v>106.1</v>
      </c>
      <c r="F16" s="8">
        <f t="shared" si="4"/>
        <v>52.3</v>
      </c>
      <c r="J16" s="1" t="s">
        <v>15</v>
      </c>
      <c r="K16" s="1">
        <v>45</v>
      </c>
      <c r="L16" s="1">
        <v>0</v>
      </c>
      <c r="M16" s="1">
        <v>0</v>
      </c>
      <c r="N16" s="1">
        <v>0</v>
      </c>
      <c r="O16" s="1">
        <v>0</v>
      </c>
    </row>
    <row r="17" spans="1:15" ht="15" x14ac:dyDescent="0.25">
      <c r="A17" s="7" t="s">
        <v>22</v>
      </c>
      <c r="B17" s="11">
        <f t="shared" si="0"/>
        <v>49.1</v>
      </c>
      <c r="C17" s="11">
        <f t="shared" si="1"/>
        <v>92.1</v>
      </c>
      <c r="D17" s="11">
        <f t="shared" si="2"/>
        <v>57</v>
      </c>
      <c r="E17" s="11">
        <f t="shared" si="3"/>
        <v>115.1</v>
      </c>
      <c r="F17" s="8">
        <f t="shared" si="4"/>
        <v>57</v>
      </c>
      <c r="J17" s="1" t="s">
        <v>16</v>
      </c>
      <c r="K17" s="1">
        <v>-1</v>
      </c>
      <c r="L17" s="1">
        <v>61.5</v>
      </c>
      <c r="M17" s="1">
        <v>40.1</v>
      </c>
      <c r="N17" s="1">
        <v>76.599999999999994</v>
      </c>
      <c r="O17" s="1">
        <v>40.1</v>
      </c>
    </row>
    <row r="18" spans="1:15" ht="15" x14ac:dyDescent="0.25">
      <c r="A18" s="7" t="s">
        <v>23</v>
      </c>
      <c r="B18" s="11">
        <f t="shared" si="0"/>
        <v>50.6</v>
      </c>
      <c r="C18" s="11">
        <f t="shared" si="1"/>
        <v>101.3</v>
      </c>
      <c r="D18" s="11">
        <f t="shared" si="2"/>
        <v>61.4</v>
      </c>
      <c r="E18" s="11">
        <f t="shared" si="3"/>
        <v>124.4</v>
      </c>
      <c r="F18" s="8">
        <f t="shared" si="4"/>
        <v>61.4</v>
      </c>
      <c r="J18" s="1" t="s">
        <v>17</v>
      </c>
      <c r="K18" s="1">
        <v>41.5</v>
      </c>
      <c r="L18" s="1">
        <v>70.8</v>
      </c>
      <c r="M18" s="1">
        <v>42.7</v>
      </c>
      <c r="N18" s="1">
        <v>86.6</v>
      </c>
      <c r="O18" s="1">
        <v>42.7</v>
      </c>
    </row>
    <row r="19" spans="1:15" ht="15" x14ac:dyDescent="0.25">
      <c r="A19" s="7" t="s">
        <v>24</v>
      </c>
      <c r="B19" s="11">
        <f t="shared" si="0"/>
        <v>51.8</v>
      </c>
      <c r="C19" s="11">
        <f t="shared" si="1"/>
        <v>106.1</v>
      </c>
      <c r="D19" s="11">
        <f t="shared" si="2"/>
        <v>63.6</v>
      </c>
      <c r="E19" s="11">
        <f t="shared" si="3"/>
        <v>128.6</v>
      </c>
      <c r="F19" s="8">
        <f t="shared" si="4"/>
        <v>63.6</v>
      </c>
      <c r="J19" s="1" t="s">
        <v>18</v>
      </c>
      <c r="K19" s="1">
        <v>43.3</v>
      </c>
      <c r="L19" s="1">
        <v>79.599999999999994</v>
      </c>
      <c r="M19" s="1">
        <v>47.9</v>
      </c>
      <c r="N19" s="1">
        <v>96.8</v>
      </c>
      <c r="O19" s="1">
        <v>47.9</v>
      </c>
    </row>
    <row r="20" spans="1:15" ht="15" x14ac:dyDescent="0.25">
      <c r="A20" s="7" t="s">
        <v>28</v>
      </c>
      <c r="B20" s="11">
        <f t="shared" si="0"/>
        <v>0</v>
      </c>
      <c r="C20" s="11">
        <f t="shared" si="1"/>
        <v>0</v>
      </c>
      <c r="D20" s="11">
        <f t="shared" si="2"/>
        <v>0</v>
      </c>
      <c r="E20" s="11">
        <f t="shared" si="3"/>
        <v>0</v>
      </c>
      <c r="F20" s="8">
        <f t="shared" si="4"/>
        <v>0</v>
      </c>
      <c r="J20" s="1" t="s">
        <v>19</v>
      </c>
      <c r="K20" s="1">
        <v>44.5</v>
      </c>
      <c r="L20" s="1">
        <v>83.2</v>
      </c>
      <c r="M20" s="1">
        <v>50.1</v>
      </c>
      <c r="N20" s="1">
        <v>101.3</v>
      </c>
      <c r="O20" s="1">
        <v>50.1</v>
      </c>
    </row>
    <row r="21" spans="1:15" ht="15" x14ac:dyDescent="0.25">
      <c r="A21" s="7" t="s">
        <v>56</v>
      </c>
      <c r="B21" s="11">
        <f t="shared" si="0"/>
        <v>0</v>
      </c>
      <c r="C21" s="11">
        <f t="shared" si="1"/>
        <v>124.4</v>
      </c>
      <c r="D21" s="11">
        <f t="shared" si="2"/>
        <v>75</v>
      </c>
      <c r="E21" s="11">
        <f t="shared" si="3"/>
        <v>151.5</v>
      </c>
      <c r="F21" s="8">
        <f t="shared" si="4"/>
        <v>75</v>
      </c>
      <c r="J21" s="1" t="s">
        <v>20</v>
      </c>
      <c r="K21" s="1">
        <v>47.3</v>
      </c>
      <c r="L21" s="1">
        <v>85.4</v>
      </c>
      <c r="M21" s="1">
        <v>52.3</v>
      </c>
      <c r="N21" s="1">
        <v>106.1</v>
      </c>
      <c r="O21" s="1">
        <v>52.3</v>
      </c>
    </row>
    <row r="22" spans="1:15" ht="15" x14ac:dyDescent="0.25">
      <c r="A22" s="7" t="s">
        <v>57</v>
      </c>
      <c r="B22" s="11">
        <f t="shared" si="0"/>
        <v>0</v>
      </c>
      <c r="C22" s="11">
        <f t="shared" si="1"/>
        <v>-1</v>
      </c>
      <c r="D22" s="11">
        <f t="shared" si="2"/>
        <v>-1</v>
      </c>
      <c r="E22" s="11">
        <f t="shared" si="3"/>
        <v>-1</v>
      </c>
      <c r="F22" s="8">
        <f t="shared" si="4"/>
        <v>-1</v>
      </c>
      <c r="J22" s="1" t="s">
        <v>21</v>
      </c>
      <c r="K22" s="1">
        <v>48.3</v>
      </c>
      <c r="L22" s="1">
        <v>87.6</v>
      </c>
      <c r="M22" s="1">
        <v>53.7</v>
      </c>
      <c r="N22" s="1">
        <v>108.8</v>
      </c>
      <c r="O22" s="1">
        <v>53.7</v>
      </c>
    </row>
    <row r="23" spans="1:15" ht="15" x14ac:dyDescent="0.25">
      <c r="A23" s="7" t="s">
        <v>31</v>
      </c>
      <c r="B23" s="11">
        <f t="shared" si="0"/>
        <v>0</v>
      </c>
      <c r="C23" s="11">
        <f t="shared" si="1"/>
        <v>133.4</v>
      </c>
      <c r="D23" s="11">
        <f t="shared" si="2"/>
        <v>79.400000000000006</v>
      </c>
      <c r="E23" s="11">
        <f t="shared" si="3"/>
        <v>160.9</v>
      </c>
      <c r="F23" s="8">
        <f t="shared" si="4"/>
        <v>79.400000000000006</v>
      </c>
      <c r="J23" s="1" t="s">
        <v>22</v>
      </c>
      <c r="K23" s="1">
        <v>49.1</v>
      </c>
      <c r="L23" s="1">
        <v>92.1</v>
      </c>
      <c r="M23" s="1">
        <v>57</v>
      </c>
      <c r="N23" s="1">
        <v>115.1</v>
      </c>
      <c r="O23" s="1">
        <v>57</v>
      </c>
    </row>
    <row r="24" spans="1:15" ht="15" x14ac:dyDescent="0.25">
      <c r="A24" s="7" t="s">
        <v>32</v>
      </c>
      <c r="B24" s="11">
        <f t="shared" si="0"/>
        <v>0</v>
      </c>
      <c r="C24" s="11">
        <f t="shared" si="1"/>
        <v>-1</v>
      </c>
      <c r="D24" s="11">
        <f t="shared" si="2"/>
        <v>-1</v>
      </c>
      <c r="E24" s="11">
        <f t="shared" si="3"/>
        <v>-1</v>
      </c>
      <c r="F24" s="8">
        <f t="shared" si="4"/>
        <v>-1</v>
      </c>
      <c r="J24" s="1" t="s">
        <v>23</v>
      </c>
      <c r="K24" s="1">
        <v>50.6</v>
      </c>
      <c r="L24" s="1">
        <v>101.3</v>
      </c>
      <c r="M24" s="1">
        <v>61.4</v>
      </c>
      <c r="N24" s="1">
        <v>124.4</v>
      </c>
      <c r="O24" s="1">
        <v>61.4</v>
      </c>
    </row>
    <row r="25" spans="1:15" ht="15" x14ac:dyDescent="0.25">
      <c r="A25" s="7" t="s">
        <v>34</v>
      </c>
      <c r="B25" s="11">
        <f t="shared" si="0"/>
        <v>0</v>
      </c>
      <c r="C25" s="11">
        <f t="shared" si="1"/>
        <v>128.6</v>
      </c>
      <c r="D25" s="11">
        <f t="shared" si="2"/>
        <v>79.400000000000006</v>
      </c>
      <c r="E25" s="11">
        <f t="shared" si="3"/>
        <v>160.9</v>
      </c>
      <c r="F25" s="8">
        <f t="shared" si="4"/>
        <v>79.400000000000006</v>
      </c>
      <c r="J25" s="1" t="s">
        <v>24</v>
      </c>
      <c r="K25" s="1">
        <v>51.8</v>
      </c>
      <c r="L25" s="1">
        <v>106.1</v>
      </c>
      <c r="M25" s="1">
        <v>63.6</v>
      </c>
      <c r="N25" s="1">
        <v>128.6</v>
      </c>
      <c r="O25" s="1">
        <v>63.6</v>
      </c>
    </row>
    <row r="26" spans="1:15" ht="15" x14ac:dyDescent="0.25">
      <c r="A26" s="7" t="s">
        <v>37</v>
      </c>
      <c r="B26" s="11">
        <f t="shared" si="0"/>
        <v>0</v>
      </c>
      <c r="C26" s="11">
        <f t="shared" si="1"/>
        <v>146.80000000000001</v>
      </c>
      <c r="D26" s="11">
        <f t="shared" si="2"/>
        <v>90.9</v>
      </c>
      <c r="E26" s="11">
        <f t="shared" si="3"/>
        <v>183.5</v>
      </c>
      <c r="F26" s="8">
        <f t="shared" si="4"/>
        <v>90.9</v>
      </c>
      <c r="J26" s="1" t="s">
        <v>25</v>
      </c>
      <c r="L26" s="1">
        <v>110.3</v>
      </c>
      <c r="M26" s="1">
        <v>65.900000000000006</v>
      </c>
      <c r="N26" s="1">
        <v>133.4</v>
      </c>
      <c r="O26" s="1">
        <v>65.900000000000006</v>
      </c>
    </row>
    <row r="27" spans="1:15" ht="15" x14ac:dyDescent="0.25">
      <c r="A27" s="7" t="s">
        <v>39</v>
      </c>
      <c r="B27" s="11">
        <f t="shared" si="0"/>
        <v>0</v>
      </c>
      <c r="C27" s="11">
        <f t="shared" si="1"/>
        <v>156.4</v>
      </c>
      <c r="D27" s="11">
        <f t="shared" si="2"/>
        <v>93.1</v>
      </c>
      <c r="E27" s="11">
        <f t="shared" si="3"/>
        <v>188.1</v>
      </c>
      <c r="F27" s="8">
        <f t="shared" si="4"/>
        <v>93.1</v>
      </c>
      <c r="J27" s="1" t="s">
        <v>41</v>
      </c>
      <c r="L27" s="1">
        <v>115.5</v>
      </c>
      <c r="M27" s="1">
        <v>68.7</v>
      </c>
      <c r="N27" s="1">
        <v>138.80000000000001</v>
      </c>
      <c r="O27" s="1">
        <v>68.7</v>
      </c>
    </row>
    <row r="28" spans="1:15" ht="15" x14ac:dyDescent="0.25">
      <c r="A28" s="18" t="s">
        <v>81</v>
      </c>
      <c r="B28" s="11">
        <f>MIN(B6:B27)</f>
        <v>-1</v>
      </c>
      <c r="C28" s="11">
        <f>MIN(C6:C27)</f>
        <v>-1</v>
      </c>
      <c r="D28" s="11">
        <f>MIN(D6:D27)</f>
        <v>-1</v>
      </c>
      <c r="E28" s="11">
        <f>MIN(E6:E27)</f>
        <v>-1</v>
      </c>
      <c r="F28" s="8">
        <f>MIN(F6:F27)</f>
        <v>-1</v>
      </c>
      <c r="J28" s="1" t="s">
        <v>26</v>
      </c>
      <c r="L28" s="1">
        <v>119.4</v>
      </c>
      <c r="M28" s="1">
        <v>70.400000000000006</v>
      </c>
      <c r="N28" s="1">
        <v>142.5</v>
      </c>
      <c r="O28" s="1">
        <v>70.400000000000006</v>
      </c>
    </row>
    <row r="29" spans="1:15" ht="15" x14ac:dyDescent="0.25">
      <c r="A29" s="18" t="s">
        <v>82</v>
      </c>
      <c r="B29" s="11">
        <f>MAX(B6:B27)</f>
        <v>51.8</v>
      </c>
      <c r="C29" s="11">
        <f>MAX(C6:C27)</f>
        <v>156.4</v>
      </c>
      <c r="D29" s="11">
        <f>MAX(D6:D27)</f>
        <v>93.1</v>
      </c>
      <c r="E29" s="11">
        <f>MAX(E6:E27)</f>
        <v>188.1</v>
      </c>
      <c r="F29" s="8">
        <f>MAX(F6:F27)</f>
        <v>93.1</v>
      </c>
      <c r="J29" s="1" t="s">
        <v>27</v>
      </c>
      <c r="L29" s="1">
        <v>119.4</v>
      </c>
      <c r="M29" s="1">
        <v>72.8</v>
      </c>
      <c r="N29" s="1">
        <v>146.80000000000001</v>
      </c>
      <c r="O29" s="1">
        <v>72.8</v>
      </c>
    </row>
    <row r="30" spans="1:15" ht="15" x14ac:dyDescent="0.25">
      <c r="A30" s="18" t="s">
        <v>83</v>
      </c>
      <c r="B30" s="11">
        <f>AVERAGE(B6:B27)</f>
        <v>23.481818181818184</v>
      </c>
      <c r="C30" s="11">
        <f>AVERAGE(C6:C27)</f>
        <v>62.377272727272725</v>
      </c>
      <c r="D30" s="11">
        <f>AVERAGE(D6:D27)</f>
        <v>37.800000000000004</v>
      </c>
      <c r="E30" s="11">
        <f>AVERAGE(E6:E27)</f>
        <v>76.418181818181822</v>
      </c>
      <c r="F30" s="8">
        <f>AVERAGE(F6:F27)</f>
        <v>37.800000000000004</v>
      </c>
      <c r="J30" s="1" t="s">
        <v>28</v>
      </c>
      <c r="L30" s="1">
        <v>0</v>
      </c>
      <c r="M30" s="1">
        <v>0</v>
      </c>
      <c r="N30" s="1">
        <v>0</v>
      </c>
      <c r="O30" s="1">
        <v>0</v>
      </c>
    </row>
    <row r="31" spans="1:15" ht="15" x14ac:dyDescent="0.25">
      <c r="J31" s="1" t="s">
        <v>56</v>
      </c>
      <c r="L31" s="1">
        <v>124.4</v>
      </c>
      <c r="M31" s="1">
        <v>75</v>
      </c>
      <c r="N31" s="1">
        <v>151.5</v>
      </c>
      <c r="O31" s="1">
        <v>75</v>
      </c>
    </row>
    <row r="32" spans="1:15" ht="15" x14ac:dyDescent="0.25">
      <c r="J32" s="1" t="s">
        <v>29</v>
      </c>
      <c r="L32" s="1">
        <v>124.4</v>
      </c>
      <c r="M32" s="1">
        <v>75</v>
      </c>
      <c r="N32" s="1">
        <v>151.5</v>
      </c>
      <c r="O32" s="1">
        <v>75</v>
      </c>
    </row>
    <row r="33" spans="10:15" ht="15" x14ac:dyDescent="0.25">
      <c r="J33" s="1" t="s">
        <v>30</v>
      </c>
      <c r="L33" s="1">
        <v>128.6</v>
      </c>
      <c r="M33" s="1">
        <v>77.2</v>
      </c>
      <c r="N33" s="1">
        <v>156.4</v>
      </c>
      <c r="O33" s="1">
        <v>77.2</v>
      </c>
    </row>
    <row r="34" spans="10:15" ht="15" x14ac:dyDescent="0.25">
      <c r="J34" s="1" t="s">
        <v>57</v>
      </c>
      <c r="L34" s="1">
        <v>-1</v>
      </c>
      <c r="M34" s="1">
        <v>-1</v>
      </c>
      <c r="N34" s="1">
        <v>-1</v>
      </c>
      <c r="O34" s="1">
        <v>-1</v>
      </c>
    </row>
    <row r="35" spans="10:15" ht="15" x14ac:dyDescent="0.25">
      <c r="J35" s="1" t="s">
        <v>31</v>
      </c>
      <c r="L35" s="1">
        <v>133.4</v>
      </c>
      <c r="M35" s="1">
        <v>79.400000000000006</v>
      </c>
      <c r="N35" s="1">
        <v>160.9</v>
      </c>
      <c r="O35" s="1">
        <v>79.400000000000006</v>
      </c>
    </row>
    <row r="36" spans="10:15" ht="15" x14ac:dyDescent="0.25">
      <c r="J36" s="1" t="s">
        <v>32</v>
      </c>
      <c r="L36" s="1">
        <v>-1</v>
      </c>
      <c r="M36" s="1">
        <v>-1</v>
      </c>
      <c r="N36" s="1">
        <v>-1</v>
      </c>
      <c r="O36" s="1">
        <v>-1</v>
      </c>
    </row>
    <row r="37" spans="10:15" ht="15" x14ac:dyDescent="0.25">
      <c r="J37" s="1" t="s">
        <v>33</v>
      </c>
      <c r="L37" s="1">
        <v>124.4</v>
      </c>
      <c r="M37" s="1">
        <v>75</v>
      </c>
      <c r="N37" s="1">
        <v>151.5</v>
      </c>
      <c r="O37" s="1">
        <v>75</v>
      </c>
    </row>
    <row r="38" spans="10:15" ht="15" x14ac:dyDescent="0.25">
      <c r="J38" s="1" t="s">
        <v>34</v>
      </c>
      <c r="L38" s="1">
        <v>128.6</v>
      </c>
      <c r="M38" s="1">
        <v>79.400000000000006</v>
      </c>
      <c r="N38" s="1">
        <v>160.9</v>
      </c>
      <c r="O38" s="1">
        <v>79.400000000000006</v>
      </c>
    </row>
    <row r="39" spans="10:15" ht="15" x14ac:dyDescent="0.25">
      <c r="J39" s="1" t="s">
        <v>35</v>
      </c>
      <c r="L39" s="1">
        <v>133.4</v>
      </c>
      <c r="M39" s="1">
        <v>81.8</v>
      </c>
      <c r="N39" s="1">
        <v>165.3</v>
      </c>
      <c r="O39" s="1">
        <v>81.8</v>
      </c>
    </row>
    <row r="40" spans="10:15" ht="15" x14ac:dyDescent="0.25">
      <c r="J40" s="1" t="s">
        <v>36</v>
      </c>
      <c r="L40" s="1">
        <v>142.5</v>
      </c>
      <c r="M40" s="1">
        <v>86.4</v>
      </c>
      <c r="N40" s="1">
        <v>174.2</v>
      </c>
      <c r="O40" s="1">
        <v>86.4</v>
      </c>
    </row>
    <row r="41" spans="10:15" ht="15" x14ac:dyDescent="0.25">
      <c r="J41" s="1" t="s">
        <v>42</v>
      </c>
      <c r="L41" s="1">
        <v>145.5</v>
      </c>
      <c r="M41" s="1">
        <v>89</v>
      </c>
      <c r="N41" s="1">
        <v>179.8</v>
      </c>
      <c r="O41" s="1">
        <v>89</v>
      </c>
    </row>
    <row r="42" spans="10:15" ht="15" x14ac:dyDescent="0.25">
      <c r="J42" s="1" t="s">
        <v>37</v>
      </c>
      <c r="L42" s="1">
        <v>146.80000000000001</v>
      </c>
      <c r="M42" s="1">
        <v>90.9</v>
      </c>
      <c r="N42" s="1">
        <v>183.5</v>
      </c>
      <c r="O42" s="1">
        <v>90.9</v>
      </c>
    </row>
    <row r="43" spans="10:15" ht="15" x14ac:dyDescent="0.25">
      <c r="J43" s="1" t="s">
        <v>38</v>
      </c>
      <c r="L43" s="1">
        <v>151.5</v>
      </c>
      <c r="M43" s="1">
        <v>93.1</v>
      </c>
      <c r="N43" s="1">
        <v>188.1</v>
      </c>
      <c r="O43" s="1">
        <v>93.1</v>
      </c>
    </row>
    <row r="44" spans="10:15" ht="15" x14ac:dyDescent="0.25">
      <c r="J44" s="1" t="s">
        <v>39</v>
      </c>
      <c r="L44" s="1">
        <v>156.4</v>
      </c>
      <c r="M44" s="1">
        <v>93.1</v>
      </c>
      <c r="N44" s="1">
        <v>188.1</v>
      </c>
      <c r="O44" s="1">
        <v>93.1</v>
      </c>
    </row>
  </sheetData>
  <conditionalFormatting sqref="J5:J44">
    <cfRule type="duplicateValues" dxfId="18" priority="17"/>
  </conditionalFormatting>
  <conditionalFormatting sqref="J5:J44">
    <cfRule type="cellIs" dxfId="17" priority="15" operator="between">
      <formula>0</formula>
      <formula>0</formula>
    </cfRule>
    <cfRule type="cellIs" dxfId="16" priority="16" operator="between">
      <formula>-1</formula>
      <formula>-1</formula>
    </cfRule>
  </conditionalFormatting>
  <conditionalFormatting sqref="L5:L44">
    <cfRule type="cellIs" dxfId="15" priority="1" operator="between">
      <formula>0</formula>
      <formula>0</formula>
    </cfRule>
    <cfRule type="cellIs" dxfId="14" priority="2" operator="between">
      <formula>-1</formula>
      <formula>-1</formula>
    </cfRule>
  </conditionalFormatting>
  <conditionalFormatting sqref="K6:K25">
    <cfRule type="cellIs" dxfId="13" priority="13" operator="between">
      <formula>0</formula>
      <formula>0</formula>
    </cfRule>
    <cfRule type="cellIs" dxfId="12" priority="14" operator="between">
      <formula>-1</formula>
      <formula>-1</formula>
    </cfRule>
  </conditionalFormatting>
  <conditionalFormatting sqref="N5:N44">
    <cfRule type="cellIs" dxfId="11" priority="7" operator="between">
      <formula>0</formula>
      <formula>0</formula>
    </cfRule>
    <cfRule type="cellIs" dxfId="10" priority="8" operator="between">
      <formula>-1</formula>
      <formula>-1</formula>
    </cfRule>
  </conditionalFormatting>
  <conditionalFormatting sqref="M5:M44">
    <cfRule type="cellIs" dxfId="9" priority="9" operator="between">
      <formula>0</formula>
      <formula>0</formula>
    </cfRule>
    <cfRule type="cellIs" dxfId="8" priority="10" operator="between">
      <formula>-1</formula>
      <formula>-1</formula>
    </cfRule>
  </conditionalFormatting>
  <conditionalFormatting sqref="O5:O44">
    <cfRule type="cellIs" dxfId="5" priority="5" operator="between">
      <formula>0</formula>
      <formula>0</formula>
    </cfRule>
    <cfRule type="cellIs" dxfId="4" priority="6" operator="between">
      <formula>-1</formula>
      <formula>-1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zoomScaleNormal="100" workbookViewId="0">
      <selection activeCell="F8" sqref="F8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0" customFormat="1" ht="21" x14ac:dyDescent="0.35">
      <c r="A1" s="41" t="s">
        <v>55</v>
      </c>
      <c r="B1" s="40" t="s">
        <v>173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150</v>
      </c>
    </row>
    <row r="5" spans="1:10" ht="18.75" x14ac:dyDescent="0.3">
      <c r="A5" s="42" t="s">
        <v>52</v>
      </c>
      <c r="B5" s="39" t="s">
        <v>176</v>
      </c>
    </row>
    <row r="6" spans="1:10" ht="18.75" x14ac:dyDescent="0.3">
      <c r="A6" s="42" t="s">
        <v>152</v>
      </c>
      <c r="B6" s="39" t="s">
        <v>177</v>
      </c>
    </row>
    <row r="7" spans="1:10" ht="18.75" x14ac:dyDescent="0.3">
      <c r="A7" s="42"/>
      <c r="B7" s="39" t="s">
        <v>178</v>
      </c>
    </row>
    <row r="8" spans="1:10" ht="18.75" x14ac:dyDescent="0.3">
      <c r="B8" s="39" t="s">
        <v>179</v>
      </c>
      <c r="C8" s="39"/>
      <c r="D8" s="39"/>
      <c r="E8" s="39"/>
    </row>
    <row r="9" spans="1:10" ht="23.25" x14ac:dyDescent="0.35">
      <c r="A9" s="17" t="s">
        <v>164</v>
      </c>
      <c r="I9" s="2"/>
      <c r="J9" s="2"/>
    </row>
    <row r="10" spans="1:10" x14ac:dyDescent="0.25">
      <c r="A10" s="32" t="s">
        <v>101</v>
      </c>
      <c r="B10" s="16" t="s">
        <v>48</v>
      </c>
      <c r="C10" s="16" t="s">
        <v>49</v>
      </c>
      <c r="D10" s="16" t="s">
        <v>50</v>
      </c>
      <c r="E10" s="16" t="s">
        <v>51</v>
      </c>
      <c r="F10" s="16" t="s">
        <v>53</v>
      </c>
      <c r="I10" s="2"/>
      <c r="J10" s="2"/>
    </row>
    <row r="11" spans="1:10" x14ac:dyDescent="0.25">
      <c r="A11" s="9" t="s">
        <v>120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35">
      <c r="A14" s="17" t="s">
        <v>161</v>
      </c>
    </row>
    <row r="15" spans="1:10" x14ac:dyDescent="0.25">
      <c r="A15" s="13" t="s">
        <v>102</v>
      </c>
      <c r="B15" s="16" t="s">
        <v>48</v>
      </c>
      <c r="C15" s="14" t="s">
        <v>49</v>
      </c>
      <c r="D15" s="16" t="s">
        <v>50</v>
      </c>
      <c r="E15" s="14" t="s">
        <v>51</v>
      </c>
      <c r="F15" s="16" t="s">
        <v>53</v>
      </c>
    </row>
    <row r="16" spans="1:10" x14ac:dyDescent="0.25">
      <c r="A16" s="7" t="s">
        <v>120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25">
      <c r="A17" s="7" t="s">
        <v>121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25">
      <c r="A18" s="7" t="s">
        <v>122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25">
      <c r="A19" s="7" t="s">
        <v>123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25">
      <c r="A20" s="7" t="s">
        <v>124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25">
      <c r="A21" s="7" t="s">
        <v>125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25">
      <c r="A22" s="7" t="s">
        <v>126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25">
      <c r="A23" s="7" t="s">
        <v>127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25">
      <c r="A24" s="7" t="s">
        <v>128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25">
      <c r="A25" s="7" t="s">
        <v>129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25">
      <c r="A26" s="7" t="s">
        <v>130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25">
      <c r="A27" s="7" t="s">
        <v>131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25">
      <c r="A28" s="7" t="s">
        <v>132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25">
      <c r="A29" s="7" t="s">
        <v>133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25">
      <c r="A30" s="7" t="s">
        <v>134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25">
      <c r="A31" s="7" t="s">
        <v>135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25">
      <c r="A32" s="7" t="s">
        <v>136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25">
      <c r="A33" s="7" t="s">
        <v>137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25">
      <c r="A34" s="7" t="s">
        <v>138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25">
      <c r="A35" s="7" t="s">
        <v>139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25">
      <c r="A36" s="7" t="s">
        <v>140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25">
      <c r="A37" s="7" t="s">
        <v>141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25">
      <c r="A38" s="7" t="s">
        <v>142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25">
      <c r="A39" s="7" t="s">
        <v>143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25">
      <c r="A40" s="7" t="s">
        <v>144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25">
      <c r="A41" s="7" t="s">
        <v>145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25">
      <c r="A42" s="7" t="s">
        <v>146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25">
      <c r="A43" s="7" t="s">
        <v>147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25">
      <c r="A44" s="7" t="s">
        <v>148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25">
      <c r="A45" s="7" t="s">
        <v>149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25">
      <c r="A46" s="7" t="s">
        <v>111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25">
      <c r="A47" s="7" t="s">
        <v>112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25">
      <c r="A48" s="7" t="s">
        <v>113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25">
      <c r="A49" s="7" t="s">
        <v>114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25">
      <c r="A50" s="7" t="s">
        <v>115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25">
      <c r="A51" s="7" t="s">
        <v>116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25">
      <c r="A52" s="7" t="s">
        <v>117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25">
      <c r="A53" s="7" t="s">
        <v>118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25">
      <c r="A54" s="9" t="s">
        <v>119</v>
      </c>
      <c r="B54" s="11">
        <v>21016</v>
      </c>
      <c r="C54" s="1" t="s">
        <v>5</v>
      </c>
      <c r="D54" s="11">
        <v>0</v>
      </c>
      <c r="E54" s="1" t="s">
        <v>6</v>
      </c>
      <c r="F54" s="11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22"/>
  <sheetViews>
    <sheetView topLeftCell="A4" zoomScaleNormal="100" workbookViewId="0">
      <selection activeCell="D6" sqref="D6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25" ht="21" x14ac:dyDescent="0.35">
      <c r="A1" s="41" t="s">
        <v>84</v>
      </c>
      <c r="B1" s="40" t="s">
        <v>166</v>
      </c>
    </row>
    <row r="2" spans="1:25" ht="18.75" x14ac:dyDescent="0.3">
      <c r="B2" s="39" t="s">
        <v>165</v>
      </c>
    </row>
    <row r="5" spans="1:25" ht="15" x14ac:dyDescent="0.25">
      <c r="B5" s="1" t="s">
        <v>150</v>
      </c>
    </row>
    <row r="6" spans="1:25" ht="18.75" x14ac:dyDescent="0.3">
      <c r="A6" s="3" t="s">
        <v>52</v>
      </c>
      <c r="B6" s="1"/>
      <c r="C6" s="45"/>
      <c r="D6" s="39">
        <f>SUM(IFERROR(C12:C21,20))</f>
        <v>20</v>
      </c>
    </row>
    <row r="7" spans="1:25" ht="20.25" x14ac:dyDescent="0.35">
      <c r="A7" s="3" t="s">
        <v>152</v>
      </c>
      <c r="B7" s="1"/>
      <c r="D7" s="50" t="s">
        <v>180</v>
      </c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</row>
    <row r="10" spans="1:25" ht="23.25" x14ac:dyDescent="0.35">
      <c r="A10" s="17" t="s">
        <v>161</v>
      </c>
    </row>
    <row r="11" spans="1:25" ht="15" x14ac:dyDescent="0.25">
      <c r="A11" s="31" t="s">
        <v>85</v>
      </c>
      <c r="B11" s="16" t="s">
        <v>86</v>
      </c>
      <c r="C11" s="16" t="s">
        <v>87</v>
      </c>
    </row>
    <row r="12" spans="1:25" ht="15" x14ac:dyDescent="0.25">
      <c r="A12" s="31">
        <v>44927</v>
      </c>
      <c r="B12" s="16" t="s">
        <v>58</v>
      </c>
      <c r="C12" s="16">
        <v>200</v>
      </c>
    </row>
    <row r="13" spans="1:25" ht="15" x14ac:dyDescent="0.25">
      <c r="A13" s="31">
        <v>44928</v>
      </c>
      <c r="B13" s="16" t="s">
        <v>59</v>
      </c>
      <c r="C13" s="16" t="e">
        <v>#N/A</v>
      </c>
    </row>
    <row r="14" spans="1:25" ht="15" x14ac:dyDescent="0.25">
      <c r="A14" s="31">
        <v>44929</v>
      </c>
      <c r="B14" s="16" t="s">
        <v>60</v>
      </c>
      <c r="C14" s="16">
        <v>50</v>
      </c>
    </row>
    <row r="15" spans="1:25" ht="15" x14ac:dyDescent="0.25">
      <c r="A15" s="31">
        <v>44930</v>
      </c>
      <c r="B15" s="16" t="s">
        <v>61</v>
      </c>
      <c r="C15" s="16" t="e">
        <v>#N/A</v>
      </c>
    </row>
    <row r="16" spans="1:25" ht="15" x14ac:dyDescent="0.25">
      <c r="A16" s="31">
        <v>44931</v>
      </c>
      <c r="B16" s="16" t="s">
        <v>62</v>
      </c>
      <c r="C16" s="16">
        <v>10</v>
      </c>
    </row>
    <row r="17" spans="1:3" ht="15" x14ac:dyDescent="0.25">
      <c r="A17" s="31">
        <v>44932</v>
      </c>
      <c r="B17" s="16" t="s">
        <v>153</v>
      </c>
      <c r="C17" s="16">
        <v>150</v>
      </c>
    </row>
    <row r="18" spans="1:3" ht="15" x14ac:dyDescent="0.25">
      <c r="A18" s="31">
        <v>44933</v>
      </c>
      <c r="B18" s="16" t="s">
        <v>154</v>
      </c>
      <c r="C18" s="16">
        <v>80</v>
      </c>
    </row>
    <row r="19" spans="1:3" ht="15" x14ac:dyDescent="0.25">
      <c r="A19" s="31">
        <v>44934</v>
      </c>
      <c r="B19" s="16" t="s">
        <v>155</v>
      </c>
      <c r="C19" s="16" t="e">
        <v>#N/A</v>
      </c>
    </row>
    <row r="20" spans="1:3" ht="15" x14ac:dyDescent="0.25">
      <c r="A20" s="31">
        <v>44935</v>
      </c>
      <c r="B20" s="16" t="s">
        <v>156</v>
      </c>
      <c r="C20" s="16">
        <v>30</v>
      </c>
    </row>
    <row r="21" spans="1:3" ht="15" x14ac:dyDescent="0.25">
      <c r="A21" s="31">
        <v>44936</v>
      </c>
      <c r="B21" s="16" t="s">
        <v>157</v>
      </c>
      <c r="C21" s="16" t="e">
        <v>#N/A</v>
      </c>
    </row>
    <row r="22" spans="1:3" ht="15" x14ac:dyDescent="0.25">
      <c r="B22" s="16" t="s">
        <v>158</v>
      </c>
      <c r="C22" s="24">
        <f>SUM(IFERROR(C12:C21, 20))</f>
        <v>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opLeftCell="A21" zoomScaleNormal="100" workbookViewId="0">
      <selection activeCell="J24" sqref="J24"/>
    </sheetView>
  </sheetViews>
  <sheetFormatPr defaultColWidth="11" defaultRowHeight="12.75" x14ac:dyDescent="0.2"/>
  <cols>
    <col min="1" max="1" width="28.1640625" style="2" bestFit="1" customWidth="1"/>
    <col min="2" max="7" width="11" style="2"/>
    <col min="8" max="8" width="32.33203125" style="2" customWidth="1"/>
    <col min="9" max="16384" width="11" style="2"/>
  </cols>
  <sheetData>
    <row r="1" spans="1:14" ht="21" x14ac:dyDescent="0.35">
      <c r="A1" s="41" t="s">
        <v>97</v>
      </c>
      <c r="B1" s="40" t="s">
        <v>174</v>
      </c>
    </row>
    <row r="3" spans="1:14" ht="15" x14ac:dyDescent="0.25">
      <c r="B3" s="1" t="s">
        <v>150</v>
      </c>
    </row>
    <row r="4" spans="1:14" ht="18.75" x14ac:dyDescent="0.3">
      <c r="A4" s="42" t="s">
        <v>52</v>
      </c>
      <c r="B4" s="1"/>
      <c r="C4" s="2" t="s">
        <v>184</v>
      </c>
    </row>
    <row r="5" spans="1:14" ht="18.75" x14ac:dyDescent="0.3">
      <c r="A5" s="42" t="s">
        <v>152</v>
      </c>
      <c r="B5" s="1"/>
      <c r="C5" s="47" t="s">
        <v>185</v>
      </c>
    </row>
    <row r="6" spans="1:14" ht="15" x14ac:dyDescent="0.25">
      <c r="A6" s="3"/>
      <c r="B6" s="1"/>
      <c r="C6" s="2" t="s">
        <v>186</v>
      </c>
    </row>
    <row r="7" spans="1:14" x14ac:dyDescent="0.2">
      <c r="C7" s="2" t="s">
        <v>187</v>
      </c>
      <c r="E7" s="2" t="s">
        <v>189</v>
      </c>
    </row>
    <row r="8" spans="1:14" ht="23.25" x14ac:dyDescent="0.35">
      <c r="A8" s="17" t="s">
        <v>161</v>
      </c>
      <c r="C8" s="2" t="s">
        <v>188</v>
      </c>
      <c r="E8" s="2" t="s">
        <v>190</v>
      </c>
      <c r="M8" s="17" t="s">
        <v>162</v>
      </c>
    </row>
    <row r="9" spans="1:14" ht="15" x14ac:dyDescent="0.25">
      <c r="A9" s="25"/>
      <c r="B9" s="25" t="s">
        <v>88</v>
      </c>
      <c r="C9" s="25" t="s">
        <v>89</v>
      </c>
      <c r="D9" s="25" t="s">
        <v>90</v>
      </c>
      <c r="E9" s="25" t="s">
        <v>91</v>
      </c>
      <c r="F9" s="25" t="s">
        <v>92</v>
      </c>
      <c r="G9" s="25" t="s">
        <v>93</v>
      </c>
      <c r="H9" s="25" t="s">
        <v>94</v>
      </c>
      <c r="I9" s="25" t="s">
        <v>95</v>
      </c>
      <c r="J9" s="25" t="s">
        <v>96</v>
      </c>
      <c r="M9" s="18" t="s">
        <v>43</v>
      </c>
      <c r="N9" s="18" t="s">
        <v>98</v>
      </c>
    </row>
    <row r="10" spans="1:14" ht="15" x14ac:dyDescent="0.25">
      <c r="A10" s="25" t="s">
        <v>88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88</v>
      </c>
    </row>
    <row r="11" spans="1:14" ht="15" x14ac:dyDescent="0.25">
      <c r="A11" s="25" t="s">
        <v>89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89</v>
      </c>
    </row>
    <row r="12" spans="1:14" ht="15" x14ac:dyDescent="0.25">
      <c r="A12" s="25" t="s">
        <v>90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90</v>
      </c>
    </row>
    <row r="13" spans="1:14" ht="15" x14ac:dyDescent="0.25">
      <c r="A13" s="25" t="s">
        <v>91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91</v>
      </c>
    </row>
    <row r="14" spans="1:14" ht="15" x14ac:dyDescent="0.25">
      <c r="A14" s="25" t="s">
        <v>92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92</v>
      </c>
    </row>
    <row r="15" spans="1:14" ht="15" x14ac:dyDescent="0.25">
      <c r="A15" s="25" t="s">
        <v>93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93</v>
      </c>
    </row>
    <row r="16" spans="1:14" ht="15" x14ac:dyDescent="0.25">
      <c r="A16" s="25" t="s">
        <v>94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94</v>
      </c>
    </row>
    <row r="17" spans="1:14" ht="15" x14ac:dyDescent="0.25">
      <c r="A17" s="25" t="s">
        <v>95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95</v>
      </c>
    </row>
    <row r="18" spans="1:14" ht="15" x14ac:dyDescent="0.25">
      <c r="A18" s="25" t="s">
        <v>96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96</v>
      </c>
    </row>
    <row r="21" spans="1:14" ht="23.25" x14ac:dyDescent="0.35">
      <c r="A21" s="17" t="s">
        <v>167</v>
      </c>
    </row>
    <row r="22" spans="1:14" ht="15" x14ac:dyDescent="0.25">
      <c r="A22" s="13" t="s">
        <v>99</v>
      </c>
      <c r="B22" s="16" t="s">
        <v>100</v>
      </c>
      <c r="C22" s="15" t="s">
        <v>101</v>
      </c>
    </row>
    <row r="23" spans="1:14" ht="20.25" x14ac:dyDescent="0.3">
      <c r="A23" s="7">
        <v>10100</v>
      </c>
      <c r="B23" s="11">
        <v>10102</v>
      </c>
      <c r="C23" s="43" t="str">
        <f>VLOOKUP(B23,M9:N18,2,0)</f>
        <v>B</v>
      </c>
      <c r="F23" s="48" t="s">
        <v>203</v>
      </c>
      <c r="H23" s="49" t="s">
        <v>204</v>
      </c>
    </row>
    <row r="24" spans="1:14" ht="15" x14ac:dyDescent="0.25">
      <c r="A24" s="7">
        <v>10100</v>
      </c>
      <c r="B24" s="11">
        <v>10104</v>
      </c>
      <c r="C24" s="43" t="str">
        <f t="shared" ref="C24:C35" si="0">VLOOKUP(B24,M10:N19,2,0)</f>
        <v>C</v>
      </c>
    </row>
    <row r="25" spans="1:14" ht="20.25" x14ac:dyDescent="0.3">
      <c r="A25" s="7">
        <v>10108</v>
      </c>
      <c r="B25" s="11">
        <v>10102</v>
      </c>
      <c r="C25" s="43" t="str">
        <f t="shared" si="0"/>
        <v>B</v>
      </c>
      <c r="F25" s="48" t="s">
        <v>197</v>
      </c>
      <c r="H25" s="49" t="s">
        <v>191</v>
      </c>
      <c r="I25" s="49"/>
      <c r="J25" s="49"/>
      <c r="K25" s="49"/>
      <c r="L25" s="49"/>
      <c r="M25" s="49"/>
      <c r="N25" s="49"/>
    </row>
    <row r="26" spans="1:14" ht="15" x14ac:dyDescent="0.25">
      <c r="A26" s="7">
        <v>10100</v>
      </c>
      <c r="B26" s="11">
        <v>10106</v>
      </c>
      <c r="C26" s="43" t="str">
        <f t="shared" si="0"/>
        <v>D</v>
      </c>
    </row>
    <row r="27" spans="1:14" ht="20.25" x14ac:dyDescent="0.3">
      <c r="A27" s="7">
        <v>10108</v>
      </c>
      <c r="B27" s="11">
        <v>10110</v>
      </c>
      <c r="C27" s="43" t="str">
        <f t="shared" si="0"/>
        <v>F</v>
      </c>
      <c r="F27" s="48" t="s">
        <v>199</v>
      </c>
      <c r="H27" s="49" t="s">
        <v>200</v>
      </c>
      <c r="I27" s="49" t="s">
        <v>192</v>
      </c>
      <c r="J27" s="49"/>
      <c r="K27" s="49"/>
      <c r="L27" s="49"/>
      <c r="M27" s="49"/>
    </row>
    <row r="28" spans="1:14" ht="18.75" x14ac:dyDescent="0.3">
      <c r="A28" s="7">
        <v>10102</v>
      </c>
      <c r="B28" s="11">
        <v>10104</v>
      </c>
      <c r="C28" s="43" t="str">
        <f>VLOOKUP(A28,M9:N18,2,0)</f>
        <v>B</v>
      </c>
      <c r="H28" s="49" t="s">
        <v>201</v>
      </c>
      <c r="I28" s="49" t="s">
        <v>193</v>
      </c>
      <c r="J28" s="49"/>
      <c r="K28" s="49"/>
      <c r="L28" s="49"/>
      <c r="M28" s="49"/>
    </row>
    <row r="29" spans="1:14" ht="18.75" x14ac:dyDescent="0.3">
      <c r="A29" s="7">
        <v>10106</v>
      </c>
      <c r="B29" s="11">
        <v>10108</v>
      </c>
      <c r="C29" s="43" t="str">
        <f t="shared" ref="C29:C35" si="1">VLOOKUP(A29,M10:N19,2,0)</f>
        <v>D</v>
      </c>
      <c r="H29" s="49" t="s">
        <v>198</v>
      </c>
      <c r="I29" s="49" t="s">
        <v>194</v>
      </c>
      <c r="J29" s="49"/>
      <c r="K29" s="49"/>
      <c r="L29" s="49"/>
      <c r="M29" s="49"/>
    </row>
    <row r="30" spans="1:14" ht="18.75" x14ac:dyDescent="0.3">
      <c r="A30" s="7">
        <v>10102</v>
      </c>
      <c r="B30" s="11">
        <v>10106</v>
      </c>
      <c r="C30" s="43" t="str">
        <f t="shared" si="1"/>
        <v>B</v>
      </c>
      <c r="H30" s="49" t="s">
        <v>202</v>
      </c>
      <c r="I30" s="49" t="s">
        <v>195</v>
      </c>
      <c r="J30" s="49"/>
      <c r="K30" s="49"/>
      <c r="L30" s="49"/>
      <c r="M30" s="49" t="s">
        <v>196</v>
      </c>
    </row>
    <row r="31" spans="1:14" ht="15" x14ac:dyDescent="0.25">
      <c r="A31" s="7">
        <v>10110</v>
      </c>
      <c r="B31" s="11">
        <v>10114</v>
      </c>
      <c r="C31" s="43" t="str">
        <f t="shared" si="1"/>
        <v>F</v>
      </c>
    </row>
    <row r="32" spans="1:14" ht="15" x14ac:dyDescent="0.25">
      <c r="A32" s="7">
        <v>10104</v>
      </c>
      <c r="B32" s="11">
        <v>10106</v>
      </c>
      <c r="C32" s="43" t="str">
        <f>VLOOKUP(A32,M9:N18,2,0)</f>
        <v>C</v>
      </c>
    </row>
    <row r="33" spans="1:3" ht="15" x14ac:dyDescent="0.25">
      <c r="A33" s="7">
        <v>10110</v>
      </c>
      <c r="B33" s="11">
        <v>10112</v>
      </c>
      <c r="C33" s="43" t="str">
        <f t="shared" ref="C33:C35" si="2">VLOOKUP(A33,M10:N19,2,0)</f>
        <v>F</v>
      </c>
    </row>
    <row r="34" spans="1:3" ht="15" x14ac:dyDescent="0.25">
      <c r="A34" s="7">
        <v>10100</v>
      </c>
      <c r="B34" s="11">
        <v>10114</v>
      </c>
      <c r="C34" s="43" t="str">
        <f>VLOOKUP(B34,M9:N18,2,0)</f>
        <v>H</v>
      </c>
    </row>
    <row r="35" spans="1:3" ht="15" x14ac:dyDescent="0.25">
      <c r="A35" s="9">
        <v>10112</v>
      </c>
      <c r="B35" s="12">
        <v>10116</v>
      </c>
      <c r="C35" s="43" t="str">
        <f t="shared" si="2"/>
        <v>G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Admin</cp:lastModifiedBy>
  <dcterms:created xsi:type="dcterms:W3CDTF">2015-02-10T17:33:11Z</dcterms:created>
  <dcterms:modified xsi:type="dcterms:W3CDTF">2023-12-11T22:16:39Z</dcterms:modified>
</cp:coreProperties>
</file>